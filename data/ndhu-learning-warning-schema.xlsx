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906c22675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e870abd4bc894b87"/>
    <x:sheet xmlns:r="http://schemas.openxmlformats.org/officeDocument/2006/relationships" name="CollegesDepartments" sheetId="2" r:id="R249b966767794f96"/>
    <x:sheet xmlns:r="http://schemas.openxmlformats.org/officeDocument/2006/relationships" name="Students" sheetId="3" r:id="R530641bc981044d9"/>
    <x:sheet xmlns:r="http://schemas.openxmlformats.org/officeDocument/2006/relationships" name="Teachers" sheetId="4" r:id="R05c1ba75941b4c0a"/>
    <x:sheet xmlns:r="http://schemas.openxmlformats.org/officeDocument/2006/relationships" name="LearningCheckins" sheetId="5" r:id="R286e50aea6be4f61"/>
    <x:sheet xmlns:r="http://schemas.openxmlformats.org/officeDocument/2006/relationships" name="Conversations" sheetId="6" r:id="R2c28315d12f94874"/>
    <x:sheet xmlns:r="http://schemas.openxmlformats.org/officeDocument/2006/relationships" name="RiskSignals" sheetId="7" r:id="Rcef376d4eb694297"/>
    <x:sheet xmlns:r="http://schemas.openxmlformats.org/officeDocument/2006/relationships" name="InterventionPlans" sheetId="8" r:id="Racf815b6834a41bb"/>
    <x:sheet xmlns:r="http://schemas.openxmlformats.org/officeDocument/2006/relationships" name="TeacherNotes" sheetId="9" r:id="Rfc1616379a904ba5"/>
    <x:sheet xmlns:r="http://schemas.openxmlformats.org/officeDocument/2006/relationships" name="Referrals" sheetId="10" r:id="R8f13ece286fa4447"/>
    <x:sheet xmlns:r="http://schemas.openxmlformats.org/officeDocument/2006/relationships" name="AuditLog" sheetId="11" r:id="Rf117775eb08b415e"/>
    <x:sheet xmlns:r="http://schemas.openxmlformats.org/officeDocument/2006/relationships" name="AnalyticsDashboard" sheetId="12" r:id="Reb0d43954d61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0e4fcb58747a5" /><Relationship Type="http://schemas.openxmlformats.org/officeDocument/2006/relationships/theme" Target="/xl/theme/theme1.xml" Id="R9949ceba694a4417" /><Relationship Type="http://schemas.openxmlformats.org/officeDocument/2006/relationships/sharedStrings" Target="/xl/sharedStrings.xml" Id="R786b66cce9904d7e" /><Relationship Type="http://schemas.openxmlformats.org/officeDocument/2006/relationships/worksheet" Target="/xl/worksheets/sheet1.xml" Id="Re870abd4bc894b87" /><Relationship Type="http://schemas.openxmlformats.org/officeDocument/2006/relationships/worksheet" Target="/xl/worksheets/sheet2.xml" Id="R249b966767794f96" /><Relationship Type="http://schemas.openxmlformats.org/officeDocument/2006/relationships/worksheet" Target="/xl/worksheets/sheet3.xml" Id="R530641bc981044d9" /><Relationship Type="http://schemas.openxmlformats.org/officeDocument/2006/relationships/worksheet" Target="/xl/worksheets/sheet4.xml" Id="R05c1ba75941b4c0a" /><Relationship Type="http://schemas.openxmlformats.org/officeDocument/2006/relationships/worksheet" Target="/xl/worksheets/sheet5.xml" Id="R286e50aea6be4f61" /><Relationship Type="http://schemas.openxmlformats.org/officeDocument/2006/relationships/worksheet" Target="/xl/worksheets/sheet6.xml" Id="R2c28315d12f94874" /><Relationship Type="http://schemas.openxmlformats.org/officeDocument/2006/relationships/worksheet" Target="/xl/worksheets/sheet7.xml" Id="Rcef376d4eb694297" /><Relationship Type="http://schemas.openxmlformats.org/officeDocument/2006/relationships/worksheet" Target="/xl/worksheets/sheet8.xml" Id="Racf815b6834a41bb" /><Relationship Type="http://schemas.openxmlformats.org/officeDocument/2006/relationships/worksheet" Target="/xl/worksheets/sheet9.xml" Id="Rfc1616379a904ba5" /><Relationship Type="http://schemas.openxmlformats.org/officeDocument/2006/relationships/worksheet" Target="/xl/worksheets/sheet10.xml" Id="R8f13ece286fa4447" /><Relationship Type="http://schemas.openxmlformats.org/officeDocument/2006/relationships/worksheet" Target="/xl/worksheets/sheet11.xml" Id="Rf117775eb08b415e" /><Relationship Type="http://schemas.openxmlformats.org/officeDocument/2006/relationships/worksheet" Target="/xl/worksheets/sheet12.xml" Id="Reb0d43954d6146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7.59000015258789" hidden="0" customWidth="1"/>
    <x:col min="3" max="3" width="46.029998779296875" hidden="0" customWidth="1"/>
    <x:col min="4" max="4" width="10.5" hidden="0" customWidth="1"/>
  </x:cols>
  <x:sheetData>
    <x:row r="1" ht="21" customHeight="1">
      <x:c r="A1" s="4" t="str">
        <x:v>key</x:v>
      </x:c>
      <x:c r="B1" s="4" t="str">
        <x:v>value</x:v>
      </x:c>
      <x:c r="C1" s="4" t="str">
        <x:v>description</x:v>
      </x:c>
      <x:c r="D1" s="4" t="str">
        <x:v>updated_at</x:v>
      </x:c>
    </x:row>
    <x:row r="2" ht="21" customHeight="1">
      <x:c r="A2" t="str">
        <x:v>app_name</x:v>
      </x:c>
      <x:c r="B2" t="str">
        <x:v>國立東華大學學習關懷預警系統</x:v>
      </x:c>
      <x:c r="C2" t="str">
        <x:v>系統名稱</x:v>
      </x:c>
      <x:c r="D2" t="n">
        <x:v>46146.25445263889</x:v>
      </x:c>
    </x:row>
    <x:row r="3" ht="21" customHeight="1">
      <x:c r="A3" t="str">
        <x:v>risk_levels</x:v>
      </x:c>
      <x:c r="B3" t="str">
        <x:v>穩定,觀察,優先關懷,立即轉介</x:v>
      </x:c>
      <x:c r="C3" t="str">
        <x:v>教師端與學生端共同使用的關懷層級</x:v>
      </x:c>
      <x:c r="D3" t="n">
        <x:v>46146.25445263889</x:v>
      </x:c>
    </x:row>
    <x:row r="4" ht="21" customHeight="1">
      <x:c r="A4" t="str">
        <x:v>gas_web_app_url</x:v>
      </x:c>
      <x:c r="B4" t="str"/>
      <x:c r="C4" t="str">
        <x:v>部署 Apps Script 後填入</x:v>
      </x:c>
      <x:c r="D4" t="n">
        <x:v>46146.25445263889</x:v>
      </x:c>
    </x:row>
    <x:row r="5" ht="21" customHeight="1">
      <x:c r="A5" t="str">
        <x:v>openai_model</x:v>
      </x:c>
      <x:c r="B5" t="str">
        <x:v>gpt-5.2</x:v>
      </x:c>
      <x:c r="C5" t="str">
        <x:v>若 GAS 設定 OPENAI_API_KEY，可用於風險摘要與建議</x:v>
      </x:c>
      <x:c r="D5" t="n">
        <x:v>46146.25445263889</x:v>
      </x:c>
    </x:row>
    <x:row r="6" ht="21" customHeight="1">
      <x:c r="A6" t="str">
        <x:v>privacy_scope</x:v>
      </x:c>
      <x:c r="B6" t="str">
        <x:v>summary_only</x:v>
      </x:c>
      <x:c r="C6" t="str">
        <x:v>教師端預設只看摘要，不直接顯示完整對話</x:v>
      </x:c>
      <x:c r="D6" t="n">
        <x:v>46146.25445263889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29.479999542236328" hidden="0" customWidth="1"/>
    <x:col min="3" max="3" width="13.319999694824219" hidden="0" customWidth="1"/>
    <x:col min="4" max="4" width="49.2599983215332" hidden="0" customWidth="1"/>
    <x:col min="5" max="5" width="4.849999904632568" hidden="0" customWidth="1"/>
  </x:cols>
  <x:sheetData>
    <x:row r="1" ht="21" customHeight="1">
      <x:c r="A1" s="4" t="str">
        <x:v>college</x:v>
      </x:c>
      <x:c r="B1" s="4" t="str">
        <x:v>department</x:v>
      </x:c>
      <x:c r="C1" s="4" t="str">
        <x:v>degree_level</x:v>
      </x:c>
      <x:c r="D1" s="4" t="str">
        <x:v>source_note</x:v>
      </x:c>
      <x:c r="E1" s="4" t="str">
        <x:v>active</x:v>
      </x:c>
    </x:row>
    <x:row r="2" ht="21" customHeight="1">
      <x:c r="A2" t="str">
        <x:v>人文社會科學學院</x:v>
      </x:c>
      <x:c r="B2" t="str">
        <x:v>諮商與臨床心理學系</x:v>
      </x:c>
      <x:c r="C2" t="str">
        <x:v>學士/碩士</x:v>
      </x:c>
      <x:c r="D2" t="str">
        <x:v>依國立東華大學教學單位頁面整理，實際以校方公告為準</x:v>
      </x:c>
      <x:c r="E2" t="str">
        <x:v>TRUE</x:v>
      </x:c>
    </x:row>
    <x:row r="3" ht="21" customHeight="1">
      <x:c r="A3" t="str">
        <x:v>人文社會科學學院</x:v>
      </x:c>
      <x:c r="B3" t="str">
        <x:v>華文文學系</x:v>
      </x:c>
      <x:c r="C3" t="str">
        <x:v>學士/碩士/博士</x:v>
      </x:c>
      <x:c r="D3" t="str">
        <x:v>依國立東華大學教學單位頁面整理，實際以校方公告為準</x:v>
      </x:c>
      <x:c r="E3" t="str">
        <x:v>TRUE</x:v>
      </x:c>
    </x:row>
    <x:row r="4" ht="21" customHeight="1">
      <x:c r="A4" t="str">
        <x:v>人文社會科學學院</x:v>
      </x:c>
      <x:c r="B4" t="str">
        <x:v>中國語文學系</x:v>
      </x:c>
      <x:c r="C4" t="str">
        <x:v>學士/碩士/博士</x:v>
      </x:c>
      <x:c r="D4" t="str">
        <x:v>依國立東華大學教學單位頁面整理，實際以校方公告為準</x:v>
      </x:c>
      <x:c r="E4" t="str">
        <x:v>TRUE</x:v>
      </x:c>
    </x:row>
    <x:row r="5" ht="21" customHeight="1">
      <x:c r="A5" t="str">
        <x:v>人文社會科學學院</x:v>
      </x:c>
      <x:c r="B5" t="str">
        <x:v>英美語文學系</x:v>
      </x:c>
      <x:c r="C5" t="str">
        <x:v>學士/碩士/博士</x:v>
      </x:c>
      <x:c r="D5" t="str">
        <x:v>依國立東華大學教學單位頁面整理，實際以校方公告為準</x:v>
      </x:c>
      <x:c r="E5" t="str">
        <x:v>TRUE</x:v>
      </x:c>
    </x:row>
    <x:row r="6" ht="21" customHeight="1">
      <x:c r="A6" t="str">
        <x:v>人文社會科學學院</x:v>
      </x:c>
      <x:c r="B6" t="str">
        <x:v>臺灣文化學系</x:v>
      </x:c>
      <x:c r="C6" t="str">
        <x:v>學士/碩士/博士</x:v>
      </x:c>
      <x:c r="D6" t="str">
        <x:v>依國立東華大學教學單位頁面整理，實際以校方公告為準</x:v>
      </x:c>
      <x:c r="E6" t="str">
        <x:v>TRUE</x:v>
      </x:c>
    </x:row>
    <x:row r="7" ht="21" customHeight="1">
      <x:c r="A7" t="str">
        <x:v>人文社會科學學院</x:v>
      </x:c>
      <x:c r="B7" t="str">
        <x:v>歷史學系</x:v>
      </x:c>
      <x:c r="C7" t="str">
        <x:v>學士/碩士</x:v>
      </x:c>
      <x:c r="D7" t="str">
        <x:v>依國立東華大學教學單位頁面整理，實際以校方公告為準</x:v>
      </x:c>
      <x:c r="E7" t="str">
        <x:v>TRUE</x:v>
      </x:c>
    </x:row>
    <x:row r="8" ht="21" customHeight="1">
      <x:c r="A8" t="str">
        <x:v>人文社會科學學院</x:v>
      </x:c>
      <x:c r="B8" t="str">
        <x:v>經濟學系</x:v>
      </x:c>
      <x:c r="C8" t="str">
        <x:v>學士/碩士</x:v>
      </x:c>
      <x:c r="D8" t="str">
        <x:v>依國立東華大學教學單位頁面整理，實際以校方公告為準</x:v>
      </x:c>
      <x:c r="E8" t="str">
        <x:v>TRUE</x:v>
      </x:c>
    </x:row>
    <x:row r="9" ht="21" customHeight="1">
      <x:c r="A9" t="str">
        <x:v>人文社會科學學院</x:v>
      </x:c>
      <x:c r="B9" t="str">
        <x:v>社會學系</x:v>
      </x:c>
      <x:c r="C9" t="str">
        <x:v>學士/碩士</x:v>
      </x:c>
      <x:c r="D9" t="str">
        <x:v>依國立東華大學教學單位頁面整理，實際以校方公告為準</x:v>
      </x:c>
      <x:c r="E9" t="str">
        <x:v>TRUE</x:v>
      </x:c>
    </x:row>
    <x:row r="10" ht="21" customHeight="1">
      <x:c r="A10" t="str">
        <x:v>人文社會科學學院</x:v>
      </x:c>
      <x:c r="B10" t="str">
        <x:v>公共行政學系</x:v>
      </x:c>
      <x:c r="C10" t="str">
        <x:v>學士/碩士</x:v>
      </x:c>
      <x:c r="D10" t="str">
        <x:v>依國立東華大學教學單位頁面整理，實際以校方公告為準</x:v>
      </x:c>
      <x:c r="E10" t="str">
        <x:v>TRUE</x:v>
      </x:c>
    </x:row>
    <x:row r="11" ht="21" customHeight="1">
      <x:c r="A11" t="str">
        <x:v>人文社會科學學院</x:v>
      </x:c>
      <x:c r="B11" t="str">
        <x:v>法律學系（含原住民專班）</x:v>
      </x:c>
      <x:c r="C11" t="str">
        <x:v>學士</x:v>
      </x:c>
      <x:c r="D11" t="str">
        <x:v>依國立東華大學教學單位頁面整理，實際以校方公告為準</x:v>
      </x:c>
      <x:c r="E11" t="str">
        <x:v>TRUE</x:v>
      </x:c>
    </x:row>
    <x:row r="12" ht="21" customHeight="1">
      <x:c r="A12" t="str">
        <x:v>人文社會科學學院</x:v>
      </x:c>
      <x:c r="B12" t="str">
        <x:v>華語文教學國際博士班</x:v>
      </x:c>
      <x:c r="C12" t="str">
        <x:v>博士</x:v>
      </x:c>
      <x:c r="D12" t="str">
        <x:v>依國立東華大學教學單位頁面整理，實際以校方公告為準</x:v>
      </x:c>
      <x:c r="E12" t="str">
        <x:v>TRUE</x:v>
      </x:c>
    </x:row>
    <x:row r="13" ht="21" customHeight="1">
      <x:c r="A13" t="str">
        <x:v>人文社會科學學院</x:v>
      </x:c>
      <x:c r="B13" t="str">
        <x:v>亞太區域研究博士班</x:v>
      </x:c>
      <x:c r="C13" t="str">
        <x:v>博士</x:v>
      </x:c>
      <x:c r="D13" t="str">
        <x:v>依國立東華大學教學單位頁面整理，實際以校方公告為準</x:v>
      </x:c>
      <x:c r="E13" t="str">
        <x:v>TRUE</x:v>
      </x:c>
    </x:row>
    <x:row r="14" ht="21" customHeight="1">
      <x:c r="A14" t="str">
        <x:v>人文社會科學學院</x:v>
      </x:c>
      <x:c r="B14" t="str">
        <x:v>華語文教學暨書法國際碩士班</x:v>
      </x:c>
      <x:c r="C14" t="str">
        <x:v>碩士</x:v>
      </x:c>
      <x:c r="D14" t="str">
        <x:v>依國立東華大學教學單位頁面整理，實際以校方公告為準</x:v>
      </x:c>
      <x:c r="E14" t="str">
        <x:v>TRUE</x:v>
      </x:c>
    </x:row>
    <x:row r="15" ht="21" customHeight="1">
      <x:c r="A15" t="str">
        <x:v>理工學院</x:v>
      </x:c>
      <x:c r="B15" t="str">
        <x:v>應用數學系</x:v>
      </x:c>
      <x:c r="C15" t="str">
        <x:v>學士/碩士/博士</x:v>
      </x:c>
      <x:c r="D15" t="str">
        <x:v>依國立東華大學教學單位頁面整理，實際以校方公告為準</x:v>
      </x:c>
      <x:c r="E15" t="str">
        <x:v>TRUE</x:v>
      </x:c>
    </x:row>
    <x:row r="16" ht="21" customHeight="1">
      <x:c r="A16" t="str">
        <x:v>理工學院</x:v>
      </x:c>
      <x:c r="B16" t="str">
        <x:v>物理學系</x:v>
      </x:c>
      <x:c r="C16" t="str">
        <x:v>學士/碩士/博士</x:v>
      </x:c>
      <x:c r="D16" t="str">
        <x:v>依國立東華大學教學單位頁面整理，實際以校方公告為準</x:v>
      </x:c>
      <x:c r="E16" t="str">
        <x:v>TRUE</x:v>
      </x:c>
    </x:row>
    <x:row r="17" ht="21" customHeight="1">
      <x:c r="A17" t="str">
        <x:v>理工學院</x:v>
      </x:c>
      <x:c r="B17" t="str">
        <x:v>生化暨分子醫學科學系</x:v>
      </x:c>
      <x:c r="C17" t="str">
        <x:v>學士/碩士/博士</x:v>
      </x:c>
      <x:c r="D17" t="str">
        <x:v>依國立東華大學教學單位頁面整理，實際以校方公告為準</x:v>
      </x:c>
      <x:c r="E17" t="str">
        <x:v>TRUE</x:v>
      </x:c>
    </x:row>
    <x:row r="18" ht="21" customHeight="1">
      <x:c r="A18" t="str">
        <x:v>理工學院</x:v>
      </x:c>
      <x:c r="B18" t="str">
        <x:v>化學系</x:v>
      </x:c>
      <x:c r="C18" t="str">
        <x:v>學士/碩士/博士</x:v>
      </x:c>
      <x:c r="D18" t="str">
        <x:v>依國立東華大學教學單位頁面整理，實際以校方公告為準</x:v>
      </x:c>
      <x:c r="E18" t="str">
        <x:v>TRUE</x:v>
      </x:c>
    </x:row>
    <x:row r="19" ht="21" customHeight="1">
      <x:c r="A19" t="str">
        <x:v>理工學院</x:v>
      </x:c>
      <x:c r="B19" t="str">
        <x:v>光電工程學系</x:v>
      </x:c>
      <x:c r="C19" t="str">
        <x:v>學士/碩士/博士</x:v>
      </x:c>
      <x:c r="D19" t="str">
        <x:v>依國立東華大學教學單位頁面整理，實際以校方公告為準</x:v>
      </x:c>
      <x:c r="E19" t="str">
        <x:v>TRUE</x:v>
      </x:c>
    </x:row>
    <x:row r="20" ht="21" customHeight="1">
      <x:c r="A20" t="str">
        <x:v>理工學院</x:v>
      </x:c>
      <x:c r="B20" t="str">
        <x:v>電機工程學系</x:v>
      </x:c>
      <x:c r="C20" t="str">
        <x:v>學士/碩士/博士</x:v>
      </x:c>
      <x:c r="D20" t="str">
        <x:v>依國立東華大學教學單位頁面整理，實際以校方公告為準</x:v>
      </x:c>
      <x:c r="E20" t="str">
        <x:v>TRUE</x:v>
      </x:c>
    </x:row>
    <x:row r="21" ht="21" customHeight="1">
      <x:c r="A21" t="str">
        <x:v>理工學院</x:v>
      </x:c>
      <x:c r="B21" t="str">
        <x:v>資訊工程學系</x:v>
      </x:c>
      <x:c r="C21" t="str">
        <x:v>學士/碩士/博士</x:v>
      </x:c>
      <x:c r="D21" t="str">
        <x:v>依國立東華大學教學單位頁面整理，實際以校方公告為準</x:v>
      </x:c>
      <x:c r="E21" t="str">
        <x:v>TRUE</x:v>
      </x:c>
    </x:row>
    <x:row r="22" ht="21" customHeight="1">
      <x:c r="A22" t="str">
        <x:v>理工學院</x:v>
      </x:c>
      <x:c r="B22" t="str">
        <x:v>材料科學與工程學系</x:v>
      </x:c>
      <x:c r="C22" t="str">
        <x:v>學士/碩士/博士</x:v>
      </x:c>
      <x:c r="D22" t="str">
        <x:v>依國立東華大學教學單位頁面整理，實際以校方公告為準</x:v>
      </x:c>
      <x:c r="E22" t="str">
        <x:v>TRUE</x:v>
      </x:c>
    </x:row>
    <x:row r="23" ht="21" customHeight="1">
      <x:c r="A23" t="str">
        <x:v>理工學院</x:v>
      </x:c>
      <x:c r="B23" t="str">
        <x:v>大數據科學國際學士班</x:v>
      </x:c>
      <x:c r="C23" t="str">
        <x:v>學士</x:v>
      </x:c>
      <x:c r="D23" t="str">
        <x:v>依國立東華大學教學單位頁面整理，實際以校方公告為準</x:v>
      </x:c>
      <x:c r="E23" t="str">
        <x:v>TRUE</x:v>
      </x:c>
    </x:row>
    <x:row r="24" ht="21" customHeight="1">
      <x:c r="A24" t="str">
        <x:v>管理學院</x:v>
      </x:c>
      <x:c r="B24" t="str">
        <x:v>企業管理學系</x:v>
      </x:c>
      <x:c r="C24" t="str">
        <x:v>學士/碩士/博士</x:v>
      </x:c>
      <x:c r="D24" t="str">
        <x:v>依國立東華大學教學單位頁面整理，實際以校方公告為準</x:v>
      </x:c>
      <x:c r="E24" t="str">
        <x:v>TRUE</x:v>
      </x:c>
    </x:row>
    <x:row r="25" ht="21" customHeight="1">
      <x:c r="A25" t="str">
        <x:v>管理學院</x:v>
      </x:c>
      <x:c r="B25" t="str">
        <x:v>運籌管理研究所</x:v>
      </x:c>
      <x:c r="C25" t="str">
        <x:v>碩士/博士</x:v>
      </x:c>
      <x:c r="D25" t="str">
        <x:v>依國立東華大學教學單位頁面整理，實際以校方公告為準</x:v>
      </x:c>
      <x:c r="E25" t="str">
        <x:v>TRUE</x:v>
      </x:c>
    </x:row>
    <x:row r="26" ht="21" customHeight="1">
      <x:c r="A26" t="str">
        <x:v>管理學院</x:v>
      </x:c>
      <x:c r="B26" t="str">
        <x:v>國際企業學系</x:v>
      </x:c>
      <x:c r="C26" t="str">
        <x:v>學士/碩士</x:v>
      </x:c>
      <x:c r="D26" t="str">
        <x:v>依國立東華大學教學單位頁面整理，實際以校方公告為準</x:v>
      </x:c>
      <x:c r="E26" t="str">
        <x:v>TRUE</x:v>
      </x:c>
    </x:row>
    <x:row r="27" ht="21" customHeight="1">
      <x:c r="A27" t="str">
        <x:v>管理學院</x:v>
      </x:c>
      <x:c r="B27" t="str">
        <x:v>會計學系</x:v>
      </x:c>
      <x:c r="C27" t="str">
        <x:v>學士/碩士</x:v>
      </x:c>
      <x:c r="D27" t="str">
        <x:v>依國立東華大學教學單位頁面整理，實際以校方公告為準</x:v>
      </x:c>
      <x:c r="E27" t="str">
        <x:v>TRUE</x:v>
      </x:c>
    </x:row>
    <x:row r="28" ht="21" customHeight="1">
      <x:c r="A28" t="str">
        <x:v>管理學院</x:v>
      </x:c>
      <x:c r="B28" t="str">
        <x:v>資訊管理學系</x:v>
      </x:c>
      <x:c r="C28" t="str">
        <x:v>學士/碩士</x:v>
      </x:c>
      <x:c r="D28" t="str">
        <x:v>依國立東華大學教學單位頁面整理，實際以校方公告為準</x:v>
      </x:c>
      <x:c r="E28" t="str">
        <x:v>TRUE</x:v>
      </x:c>
    </x:row>
    <x:row r="29" ht="21" customHeight="1">
      <x:c r="A29" t="str">
        <x:v>管理學院</x:v>
      </x:c>
      <x:c r="B29" t="str">
        <x:v>財務金融學系</x:v>
      </x:c>
      <x:c r="C29" t="str">
        <x:v>學士/碩士</x:v>
      </x:c>
      <x:c r="D29" t="str">
        <x:v>依國立東華大學教學單位頁面整理，實際以校方公告為準</x:v>
      </x:c>
      <x:c r="E29" t="str">
        <x:v>TRUE</x:v>
      </x:c>
    </x:row>
    <x:row r="30" ht="21" customHeight="1">
      <x:c r="A30" t="str">
        <x:v>管理學院</x:v>
      </x:c>
      <x:c r="B30" t="str">
        <x:v>觀光暨休閒遊憩學系</x:v>
      </x:c>
      <x:c r="C30" t="str">
        <x:v>學士/碩士</x:v>
      </x:c>
      <x:c r="D30" t="str">
        <x:v>依國立東華大學教學單位頁面整理，實際以校方公告為準</x:v>
      </x:c>
      <x:c r="E30" t="str">
        <x:v>TRUE</x:v>
      </x:c>
    </x:row>
    <x:row r="31" ht="21" customHeight="1">
      <x:c r="A31" t="str">
        <x:v>管理學院</x:v>
      </x:c>
      <x:c r="B31" t="str">
        <x:v>高階經營管理碩士在職專班</x:v>
      </x:c>
      <x:c r="C31" t="str">
        <x:v>碩士</x:v>
      </x:c>
      <x:c r="D31" t="str">
        <x:v>依國立東華大學教學單位頁面整理，實際以校方公告為準</x:v>
      </x:c>
      <x:c r="E31" t="str">
        <x:v>TRUE</x:v>
      </x:c>
    </x:row>
    <x:row r="32" ht="21" customHeight="1">
      <x:c r="A32" t="str">
        <x:v>管理學院</x:v>
      </x:c>
      <x:c r="B32" t="str">
        <x:v>管理科學與財金國際學士學位學程</x:v>
      </x:c>
      <x:c r="C32" t="str">
        <x:v>學士</x:v>
      </x:c>
      <x:c r="D32" t="str">
        <x:v>依國立東華大學教學單位頁面整理，實際以校方公告為準</x:v>
      </x:c>
      <x:c r="E32" t="str">
        <x:v>TRUE</x:v>
      </x:c>
    </x:row>
    <x:row r="33" ht="21" customHeight="1">
      <x:c r="A33" t="str">
        <x:v>管理學院</x:v>
      </x:c>
      <x:c r="B33" t="str">
        <x:v>會計與資訊管理國際學士班</x:v>
      </x:c>
      <x:c r="C33" t="str">
        <x:v>學士</x:v>
      </x:c>
      <x:c r="D33" t="str">
        <x:v>依國立東華大學教學單位頁面整理，實際以校方公告為準</x:v>
      </x:c>
      <x:c r="E33" t="str">
        <x:v>TRUE</x:v>
      </x:c>
    </x:row>
    <x:row r="34" ht="21" customHeight="1">
      <x:c r="A34" t="str">
        <x:v>管理學院</x:v>
      </x:c>
      <x:c r="B34" t="str">
        <x:v>數位行銷與服務創新國際學士班</x:v>
      </x:c>
      <x:c r="C34" t="str">
        <x:v>學士</x:v>
      </x:c>
      <x:c r="D34" t="str">
        <x:v>依國立東華大學教學單位頁面整理，實際以校方公告為準</x:v>
      </x:c>
      <x:c r="E34" t="str">
        <x:v>TRUE</x:v>
      </x:c>
    </x:row>
    <x:row r="35" ht="21" customHeight="1">
      <x:c r="A35" t="str">
        <x:v>花師教育學院</x:v>
      </x:c>
      <x:c r="B35" t="str">
        <x:v>教育與潛能開發學系</x:v>
      </x:c>
      <x:c r="C35" t="str">
        <x:v>學士/碩士/博士</x:v>
      </x:c>
      <x:c r="D35" t="str">
        <x:v>依國立東華大學教學單位頁面整理，實際以校方公告為準</x:v>
      </x:c>
      <x:c r="E35" t="str">
        <x:v>TRUE</x:v>
      </x:c>
    </x:row>
    <x:row r="36" ht="21" customHeight="1">
      <x:c r="A36" t="str">
        <x:v>花師教育學院</x:v>
      </x:c>
      <x:c r="B36" t="str">
        <x:v>教育行政與管理學系</x:v>
      </x:c>
      <x:c r="C36" t="str">
        <x:v>學士/碩士/博士</x:v>
      </x:c>
      <x:c r="D36" t="str">
        <x:v>依國立東華大學教學單位頁面整理，實際以校方公告為準</x:v>
      </x:c>
      <x:c r="E36" t="str">
        <x:v>TRUE</x:v>
      </x:c>
    </x:row>
    <x:row r="37" ht="21" customHeight="1">
      <x:c r="A37" t="str">
        <x:v>花師教育學院</x:v>
      </x:c>
      <x:c r="B37" t="str">
        <x:v>特殊教育學系</x:v>
      </x:c>
      <x:c r="C37" t="str">
        <x:v>學士/碩士/博士</x:v>
      </x:c>
      <x:c r="D37" t="str">
        <x:v>依國立東華大學教學單位頁面整理，實際以校方公告為準</x:v>
      </x:c>
      <x:c r="E37" t="str">
        <x:v>TRUE</x:v>
      </x:c>
    </x:row>
    <x:row r="38" ht="21" customHeight="1">
      <x:c r="A38" t="str">
        <x:v>花師教育學院</x:v>
      </x:c>
      <x:c r="B38" t="str">
        <x:v>體育與運動科學系</x:v>
      </x:c>
      <x:c r="C38" t="str">
        <x:v>學士/碩士</x:v>
      </x:c>
      <x:c r="D38" t="str">
        <x:v>依國立東華大學教學單位頁面整理，實際以校方公告為準</x:v>
      </x:c>
      <x:c r="E38" t="str">
        <x:v>TRUE</x:v>
      </x:c>
    </x:row>
    <x:row r="39" ht="21" customHeight="1">
      <x:c r="A39" t="str">
        <x:v>花師教育學院</x:v>
      </x:c>
      <x:c r="B39" t="str">
        <x:v>幼兒教育學系</x:v>
      </x:c>
      <x:c r="C39" t="str">
        <x:v>學士/碩士</x:v>
      </x:c>
      <x:c r="D39" t="str">
        <x:v>依國立東華大學教學單位頁面整理，實際以校方公告為準</x:v>
      </x:c>
      <x:c r="E39" t="str">
        <x:v>TRUE</x:v>
      </x:c>
    </x:row>
    <x:row r="40" ht="21" customHeight="1">
      <x:c r="A40" t="str">
        <x:v>花師教育學院</x:v>
      </x:c>
      <x:c r="B40" t="str">
        <x:v>多元文化教育碩博士班</x:v>
      </x:c>
      <x:c r="C40" t="str">
        <x:v>碩士/博士</x:v>
      </x:c>
      <x:c r="D40" t="str">
        <x:v>依國立東華大學教學單位頁面整理，實際以校方公告為準</x:v>
      </x:c>
      <x:c r="E40" t="str">
        <x:v>TRUE</x:v>
      </x:c>
    </x:row>
    <x:row r="41" ht="21" customHeight="1">
      <x:c r="A41" t="str">
        <x:v>藝術學院</x:v>
      </x:c>
      <x:c r="B41" t="str">
        <x:v>音樂學系</x:v>
      </x:c>
      <x:c r="C41" t="str">
        <x:v>學士/碩士</x:v>
      </x:c>
      <x:c r="D41" t="str">
        <x:v>依國立東華大學教學單位頁面整理，實際以校方公告為準</x:v>
      </x:c>
      <x:c r="E41" t="str">
        <x:v>TRUE</x:v>
      </x:c>
    </x:row>
    <x:row r="42" ht="21" customHeight="1">
      <x:c r="A42" t="str">
        <x:v>藝術學院</x:v>
      </x:c>
      <x:c r="B42" t="str">
        <x:v>藝術與設計學系</x:v>
      </x:c>
      <x:c r="C42" t="str">
        <x:v>學士/碩士</x:v>
      </x:c>
      <x:c r="D42" t="str">
        <x:v>依國立東華大學教學單位頁面整理，實際以校方公告為準</x:v>
      </x:c>
      <x:c r="E42" t="str">
        <x:v>TRUE</x:v>
      </x:c>
    </x:row>
    <x:row r="43" ht="21" customHeight="1">
      <x:c r="A43" t="str">
        <x:v>藝術學院</x:v>
      </x:c>
      <x:c r="B43" t="str">
        <x:v>藝術創意產業學系</x:v>
      </x:c>
      <x:c r="C43" t="str">
        <x:v>學士/碩士</x:v>
      </x:c>
      <x:c r="D43" t="str">
        <x:v>依國立東華大學教學單位頁面整理，實際以校方公告為準</x:v>
      </x:c>
      <x:c r="E43" t="str">
        <x:v>TRUE</x:v>
      </x:c>
    </x:row>
    <x:row r="44" ht="21" customHeight="1">
      <x:c r="A44" t="str">
        <x:v>藝術學院</x:v>
      </x:c>
      <x:c r="B44" t="str">
        <x:v>藝術跨領域國際博士班</x:v>
      </x:c>
      <x:c r="C44" t="str">
        <x:v>博士</x:v>
      </x:c>
      <x:c r="D44" t="str">
        <x:v>依國立東華大學教學單位頁面整理，實際以校方公告為準</x:v>
      </x:c>
      <x:c r="E44" t="str">
        <x:v>TRUE</x:v>
      </x:c>
    </x:row>
    <x:row r="45" ht="21" customHeight="1">
      <x:c r="A45" t="str">
        <x:v>原住民民族學院</x:v>
      </x:c>
      <x:c r="B45" t="str">
        <x:v>族群關係與文化學系</x:v>
      </x:c>
      <x:c r="C45" t="str">
        <x:v>學士/碩士</x:v>
      </x:c>
      <x:c r="D45" t="str">
        <x:v>依國立東華大學教學單位頁面整理，實際以校方公告為準</x:v>
      </x:c>
      <x:c r="E45" t="str">
        <x:v>TRUE</x:v>
      </x:c>
    </x:row>
    <x:row r="46" ht="21" customHeight="1">
      <x:c r="A46" t="str">
        <x:v>原住民民族學院</x:v>
      </x:c>
      <x:c r="B46" t="str">
        <x:v>民族語言與傳播學系</x:v>
      </x:c>
      <x:c r="C46" t="str">
        <x:v>學士/碩士</x:v>
      </x:c>
      <x:c r="D46" t="str">
        <x:v>依國立東華大學教學單位頁面整理，實際以校方公告為準</x:v>
      </x:c>
      <x:c r="E46" t="str">
        <x:v>TRUE</x:v>
      </x:c>
    </x:row>
    <x:row r="47" ht="21" customHeight="1">
      <x:c r="A47" t="str">
        <x:v>原住民民族學院</x:v>
      </x:c>
      <x:c r="B47" t="str">
        <x:v>民族發展與社會工作學系</x:v>
      </x:c>
      <x:c r="C47" t="str">
        <x:v>學士/碩士</x:v>
      </x:c>
      <x:c r="D47" t="str">
        <x:v>依國立東華大學教學單位頁面整理，實際以校方公告為準</x:v>
      </x:c>
      <x:c r="E47" t="str">
        <x:v>TRUE</x:v>
      </x:c>
    </x:row>
    <x:row r="48" ht="21" customHeight="1">
      <x:c r="A48" t="str">
        <x:v>原住民民族學院</x:v>
      </x:c>
      <x:c r="B48" t="str">
        <x:v>民族社會工作學士學位學程</x:v>
      </x:c>
      <x:c r="C48" t="str">
        <x:v>學士</x:v>
      </x:c>
      <x:c r="D48" t="str">
        <x:v>依國立東華大學教學單位頁面整理，實際以校方公告為準</x:v>
      </x:c>
      <x:c r="E48" t="str">
        <x:v>TRUE</x:v>
      </x:c>
    </x:row>
    <x:row r="49" ht="21" customHeight="1">
      <x:c r="A49" t="str">
        <x:v>原住民民族學院</x:v>
      </x:c>
      <x:c r="B49" t="str">
        <x:v>原住民族樂舞與藝術學士學位學程</x:v>
      </x:c>
      <x:c r="C49" t="str">
        <x:v>學士</x:v>
      </x:c>
      <x:c r="D49" t="str">
        <x:v>依國立東華大學教學單位頁面整理，實際以校方公告為準</x:v>
      </x:c>
      <x:c r="E49" t="str">
        <x:v>TRUE</x:v>
      </x:c>
    </x:row>
    <x:row r="50" ht="21" customHeight="1">
      <x:c r="A50" t="str">
        <x:v>原住民民族學院</x:v>
      </x:c>
      <x:c r="B50" t="str">
        <x:v>原住民族研究國際博士班</x:v>
      </x:c>
      <x:c r="C50" t="str">
        <x:v>博士</x:v>
      </x:c>
      <x:c r="D50" t="str">
        <x:v>依國立東華大學教學單位頁面整理，實際以校方公告為準</x:v>
      </x:c>
      <x:c r="E50" t="str">
        <x:v>TRUE</x:v>
      </x:c>
    </x:row>
    <x:row r="51" ht="21" customHeight="1">
      <x:c r="A51" t="str">
        <x:v>環境暨海洋學院</x:v>
      </x:c>
      <x:c r="B51" t="str">
        <x:v>自然資源與環境學系</x:v>
      </x:c>
      <x:c r="C51" t="str">
        <x:v>學士/碩士/博士</x:v>
      </x:c>
      <x:c r="D51" t="str">
        <x:v>依國立東華大學教學單位頁面整理，實際以校方公告為準</x:v>
      </x:c>
      <x:c r="E51" t="str">
        <x:v>TRUE</x:v>
      </x:c>
    </x:row>
    <x:row r="52" ht="21" customHeight="1">
      <x:c r="A52" t="str">
        <x:v>環境暨海洋學院</x:v>
      </x:c>
      <x:c r="B52" t="str">
        <x:v>海洋生物研究所</x:v>
      </x:c>
      <x:c r="C52" t="str">
        <x:v>碩士/博士</x:v>
      </x:c>
      <x:c r="D52" t="str">
        <x:v>依國立東華大學教學單位頁面整理，實際以校方公告為準</x:v>
      </x:c>
      <x:c r="E52" t="str">
        <x:v>TRUE</x:v>
      </x:c>
    </x:row>
    <x:row r="53" ht="21" customHeight="1">
      <x:c r="A53" t="str">
        <x:v>環境暨海洋學院</x:v>
      </x:c>
      <x:c r="B53" t="str">
        <x:v>人文與環境碩士學位學程</x:v>
      </x:c>
      <x:c r="C53" t="str">
        <x:v>碩士</x:v>
      </x:c>
      <x:c r="D53" t="str">
        <x:v>依國立東華大學教學單位頁面整理，實際以校方公告為準</x:v>
      </x:c>
      <x:c r="E53" t="str">
        <x:v>TRUE</x:v>
      </x:c>
    </x:row>
    <x:row r="54" ht="21" customHeight="1">
      <x:c r="A54" t="str">
        <x:v>洄瀾學院</x:v>
      </x:c>
      <x:c r="B54" t="str">
        <x:v>通識教育中心</x:v>
      </x:c>
      <x:c r="C54" t="str">
        <x:v>通識</x:v>
      </x:c>
      <x:c r="D54" t="str">
        <x:v>依國立東華大學教學單位頁面整理，實際以校方公告為準</x:v>
      </x:c>
      <x:c r="E54" t="str">
        <x:v>TRUE</x:v>
      </x:c>
    </x:row>
    <x:row r="55" ht="21" customHeight="1">
      <x:c r="A55" t="str">
        <x:v>洄瀾學院</x:v>
      </x:c>
      <x:c r="B55" t="str">
        <x:v>藝文中心</x:v>
      </x:c>
      <x:c r="C55" t="str">
        <x:v>中心</x:v>
      </x:c>
      <x:c r="D55" t="str">
        <x:v>依國立東華大學教學單位頁面整理，實際以校方公告為準</x:v>
      </x:c>
      <x:c r="E55" t="str">
        <x:v>TRUE</x:v>
      </x:c>
    </x:row>
    <x:row r="56" ht="21" customHeight="1">
      <x:c r="A56" t="str">
        <x:v>洄瀾學院</x:v>
      </x:c>
      <x:c r="B56" t="str">
        <x:v>體育中心</x:v>
      </x:c>
      <x:c r="C56" t="str">
        <x:v>中心</x:v>
      </x:c>
      <x:c r="D56" t="str">
        <x:v>依國立東華大學教學單位頁面整理，實際以校方公告為準</x:v>
      </x:c>
      <x:c r="E56" t="str">
        <x:v>TRUE</x:v>
      </x:c>
    </x:row>
    <x:row r="57" ht="21" customHeight="1">
      <x:c r="A57" t="str">
        <x:v>洄瀾學院</x:v>
      </x:c>
      <x:c r="B57" t="str">
        <x:v>語言中心</x:v>
      </x:c>
      <x:c r="C57" t="str">
        <x:v>中心</x:v>
      </x:c>
      <x:c r="D57" t="str">
        <x:v>依國立東華大學教學單位頁面整理，實際以校方公告為準</x:v>
      </x:c>
      <x:c r="E57" t="str">
        <x:v>TRUE</x:v>
      </x:c>
    </x:row>
    <x:row r="58" ht="21" customHeight="1">
      <x:c r="A58" t="str">
        <x:v>洄瀾學院</x:v>
      </x:c>
      <x:c r="B58" t="str">
        <x:v>華語文中心</x:v>
      </x:c>
      <x:c r="C58" t="str">
        <x:v>中心</x:v>
      </x:c>
      <x:c r="D58" t="str">
        <x:v>依國立東華大學教學單位頁面整理，實際以校方公告為準</x:v>
      </x:c>
      <x:c r="E58" t="str">
        <x:v>TRUE</x:v>
      </x:c>
    </x:row>
    <x:row r="59" ht="21" customHeight="1">
      <x:c r="A59" t="str">
        <x:v>洄瀾學院</x:v>
      </x:c>
      <x:c r="B59" t="str">
        <x:v>縱谷跨域書院學士學位學程</x:v>
      </x:c>
      <x:c r="C59" t="str">
        <x:v>學士</x:v>
      </x:c>
      <x:c r="D59" t="str">
        <x:v>依國立東華大學教學單位頁面整理，實際以校方公告為準</x:v>
      </x:c>
      <x:c r="E59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.579999923706055" hidden="0" customWidth="1"/>
    <x:col min="3" max="3" width="4.440000057220459" hidden="0" customWidth="1"/>
    <x:col min="4" max="4" width="5.650000095367432" hidden="0" customWidth="1"/>
    <x:col min="5" max="5" width="9.6899995803833" hidden="0" customWidth="1"/>
    <x:col min="6" max="6" width="3.5" hidden="0" customWidth="1"/>
    <x:col min="7" max="7" width="12.25" hidden="0" customWidth="1"/>
    <x:col min="8" max="8" width="4.849999904632568" hidden="0" customWidth="1"/>
    <x:col min="9" max="9" width="8.75" hidden="0" customWidth="1"/>
    <x:col min="10" max="10" width="10.229999542236328" hidden="0" customWidth="1"/>
    <x:col min="11" max="11" width="7.670000076293945" hidden="0" customWidth="1"/>
    <x:col min="12" max="12" width="8.210000038146973" hidden="0" customWidth="1"/>
    <x:col min="13" max="13" width="11.4399995803833" hidden="0" customWidth="1"/>
    <x:col min="14" max="14" width="13.1899995803833" hidden="0" customWidth="1"/>
  </x:cols>
  <x:sheetData>
    <x:row r="1" ht="21" customHeight="1">
      <x:c r="A1" s="4" t="str">
        <x:v>student_id</x:v>
      </x:c>
      <x:c r="B1" s="4" t="str">
        <x:v>name</x:v>
      </x:c>
      <x:c r="C1" s="4" t="str">
        <x:v>email</x:v>
      </x:c>
      <x:c r="D1" s="4" t="str">
        <x:v>college</x:v>
      </x:c>
      <x:c r="E1" s="4" t="str">
        <x:v>department</x:v>
      </x:c>
      <x:c r="F1" s="4" t="str">
        <x:v>year</x:v>
      </x:c>
      <x:c r="G1" s="4" t="str">
        <x:v>consent_status</x:v>
      </x:c>
      <x:c r="H1" s="4" t="str">
        <x:v>status</x:v>
      </x:c>
      <x:c r="I1" s="4" t="str">
        <x:v>created_at</x:v>
      </x:c>
      <x:c r="J1" s="4" t="str">
        <x:v>last_seen_at</x:v>
      </x:c>
      <x:c r="K1" s="4" t="str">
        <x:v>risk_level</x:v>
      </x:c>
      <x:c r="L1" s="4" t="str">
        <x:v>risk_score</x:v>
      </x:c>
      <x:c r="M1" s="4" t="str">
        <x:v>primary_need</x:v>
      </x:c>
      <x:c r="N1" s="4" t="str">
        <x:v>latest_summary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09999656677246" hidden="0" customWidth="1"/>
    <x:col min="2" max="2" width="4.579999923706055" hidden="0" customWidth="1"/>
    <x:col min="3" max="3" width="4.440000057220459" hidden="0" customWidth="1"/>
    <x:col min="4" max="4" width="3.0999999046325684" hidden="0" customWidth="1"/>
    <x:col min="5" max="5" width="5.650000095367432" hidden="0" customWidth="1"/>
    <x:col min="6" max="6" width="9.6899995803833" hidden="0" customWidth="1"/>
    <x:col min="7" max="7" width="13.319999694824219" hidden="0" customWidth="1"/>
    <x:col min="8" max="8" width="4.849999904632568" hidden="0" customWidth="1"/>
    <x:col min="9" max="9" width="8.75" hidden="0" customWidth="1"/>
    <x:col min="10" max="10" width="10.229999542236328" hidden="0" customWidth="1"/>
  </x:cols>
  <x:sheetData>
    <x:row r="1" ht="21" customHeight="1">
      <x:c r="A1" s="4" t="str">
        <x:v>teacher_id</x:v>
      </x:c>
      <x:c r="B1" s="4" t="str">
        <x:v>name</x:v>
      </x:c>
      <x:c r="C1" s="4" t="str">
        <x:v>email</x:v>
      </x:c>
      <x:c r="D1" s="4" t="str">
        <x:v>role</x:v>
      </x:c>
      <x:c r="E1" s="4" t="str">
        <x:v>college</x:v>
      </x:c>
      <x:c r="F1" s="4" t="str">
        <x:v>department</x:v>
      </x:c>
      <x:c r="G1" s="4" t="str">
        <x:v>can_view_scope</x:v>
      </x:c>
      <x:c r="H1" s="4" t="str">
        <x:v>status</x:v>
      </x:c>
      <x:c r="I1" s="4" t="str">
        <x:v>created_at</x:v>
      </x:c>
      <x:c r="J1" s="4" t="str">
        <x:v>last_seen_at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09999656677246" hidden="0" customWidth="1"/>
    <x:col min="2" max="2" width="8.75" hidden="0" customWidth="1"/>
    <x:col min="3" max="3" width="8.75" hidden="0" customWidth="1"/>
    <x:col min="4" max="4" width="11.84000015258789" hidden="0" customWidth="1"/>
    <x:col min="5" max="5" width="4.440000057220459" hidden="0" customWidth="1"/>
    <x:col min="6" max="6" width="5.650000095367432" hidden="0" customWidth="1"/>
    <x:col min="7" max="7" width="9.6899995803833" hidden="0" customWidth="1"/>
    <x:col min="8" max="8" width="3.5" hidden="0" customWidth="1"/>
    <x:col min="9" max="9" width="10.899999618530273" hidden="0" customWidth="1"/>
    <x:col min="10" max="10" width="11.710000038146973" hidden="0" customWidth="1"/>
    <x:col min="11" max="11" width="12.380000114440918" hidden="0" customWidth="1"/>
    <x:col min="12" max="12" width="15.069999694824219" hidden="0" customWidth="1"/>
    <x:col min="13" max="13" width="15.069999694824219" hidden="0" customWidth="1"/>
    <x:col min="14" max="14" width="12.789999961853027" hidden="0" customWidth="1"/>
    <x:col min="15" max="15" width="7.670000076293945" hidden="0" customWidth="1"/>
    <x:col min="16" max="16" width="8.210000038146973" hidden="0" customWidth="1"/>
    <x:col min="17" max="17" width="3.2300000190734863" hidden="0" customWidth="1"/>
    <x:col min="18" max="18" width="7.670000076293945" hidden="0" customWidth="1"/>
    <x:col min="19" max="19" width="19.25" hidden="0" customWidth="1"/>
    <x:col min="20" max="20" width="7.400000095367432" hidden="0" customWidth="1"/>
  </x:cols>
  <x:sheetData>
    <x:row r="1" ht="21" customHeight="1">
      <x:c r="A1" s="4" t="str">
        <x:v>checkin_id</x:v>
      </x:c>
      <x:c r="B1" s="4" t="str">
        <x:v>timestamp</x:v>
      </x:c>
      <x:c r="C1" s="4" t="str">
        <x:v>student_id</x:v>
      </x:c>
      <x:c r="D1" s="4" t="str">
        <x:v>student_name</x:v>
      </x:c>
      <x:c r="E1" s="4" t="str">
        <x:v>email</x:v>
      </x:c>
      <x:c r="F1" s="4" t="str">
        <x:v>college</x:v>
      </x:c>
      <x:c r="G1" s="4" t="str">
        <x:v>department</x:v>
      </x:c>
      <x:c r="H1" s="4" t="str">
        <x:v>year</x:v>
      </x:c>
      <x:c r="I1" s="4" t="str">
        <x:v>course_name</x:v>
      </x:c>
      <x:c r="J1" s="4" t="str">
        <x:v>difficulty_type</x:v>
      </x:c>
      <x:c r="K1" s="4" t="str">
        <x:v>difficulty_score</x:v>
      </x:c>
      <x:c r="L1" s="4" t="str">
        <x:v>attendance_status</x:v>
      </x:c>
      <x:c r="M1" s="4" t="str">
        <x:v>preferred_support</x:v>
      </x:c>
      <x:c r="N1" s="4" t="str">
        <x:v>follow_up_date</x:v>
      </x:c>
      <x:c r="O1" s="4" t="str">
        <x:v>risk_level</x:v>
      </x:c>
      <x:c r="P1" s="4" t="str">
        <x:v>risk_score</x:v>
      </x:c>
      <x:c r="Q1" s="4" t="str">
        <x:v>tags</x:v>
      </x:c>
      <x:c r="R1" s="4" t="str">
        <x:v>summary</x:v>
      </x:c>
      <x:c r="S1" s="4" t="str">
        <x:v>recommendations_json</x:v>
      </x:c>
      <x:c r="T1" s="4" t="str">
        <x:v>raw_json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920000076293945" hidden="0" customWidth="1"/>
    <x:col min="2" max="2" width="8.75" hidden="0" customWidth="1"/>
    <x:col min="3" max="3" width="8.75" hidden="0" customWidth="1"/>
    <x:col min="4" max="4" width="11.84000015258789" hidden="0" customWidth="1"/>
    <x:col min="5" max="5" width="5.650000095367432" hidden="0" customWidth="1"/>
    <x:col min="6" max="6" width="9.6899995803833" hidden="0" customWidth="1"/>
    <x:col min="7" max="7" width="7" hidden="0" customWidth="1"/>
    <x:col min="8" max="8" width="9.6899995803833" hidden="0" customWidth="1"/>
    <x:col min="9" max="9" width="7.670000076293945" hidden="0" customWidth="1"/>
    <x:col min="10" max="10" width="8.210000038146973" hidden="0" customWidth="1"/>
    <x:col min="11" max="11" width="3.2300000190734863" hidden="0" customWidth="1"/>
    <x:col min="12" max="12" width="7.670000076293945" hidden="0" customWidth="1"/>
    <x:col min="13" max="13" width="16.690000534057617" hidden="0" customWidth="1"/>
    <x:col min="14" max="14" width="7.400000095367432" hidden="0" customWidth="1"/>
  </x:cols>
  <x:sheetData>
    <x:row r="1" ht="21" customHeight="1">
      <x:c r="A1" s="4" t="str">
        <x:v>conversation_id</x:v>
      </x:c>
      <x:c r="B1" s="4" t="str">
        <x:v>timestamp</x:v>
      </x:c>
      <x:c r="C1" s="4" t="str">
        <x:v>student_id</x:v>
      </x:c>
      <x:c r="D1" s="4" t="str">
        <x:v>student_name</x:v>
      </x:c>
      <x:c r="E1" s="4" t="str">
        <x:v>college</x:v>
      </x:c>
      <x:c r="F1" s="4" t="str">
        <x:v>department</x:v>
      </x:c>
      <x:c r="G1" s="4" t="str">
        <x:v>message</x:v>
      </x:c>
      <x:c r="H1" s="4" t="str">
        <x:v>agent_reply</x:v>
      </x:c>
      <x:c r="I1" s="4" t="str">
        <x:v>risk_level</x:v>
      </x:c>
      <x:c r="J1" s="4" t="str">
        <x:v>risk_score</x:v>
      </x:c>
      <x:c r="K1" s="4" t="str">
        <x:v>tags</x:v>
      </x:c>
      <x:c r="L1" s="4" t="str">
        <x:v>summary</x:v>
      </x:c>
      <x:c r="M1" s="4" t="str">
        <x:v>visibility_to_teacher</x:v>
      </x:c>
      <x:c r="N1" s="4" t="str">
        <x:v>raw_json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8.75" hidden="0" customWidth="1"/>
    <x:col min="3" max="3" width="8.75" hidden="0" customWidth="1"/>
    <x:col min="4" max="4" width="11.84000015258789" hidden="0" customWidth="1"/>
    <x:col min="5" max="5" width="5.380000114440918" hidden="0" customWidth="1"/>
    <x:col min="6" max="6" width="7" hidden="0" customWidth="1"/>
    <x:col min="7" max="7" width="6.460000038146973" hidden="0" customWidth="1"/>
    <x:col min="8" max="8" width="7.269999980926514" hidden="0" customWidth="1"/>
    <x:col min="9" max="9" width="8.210000038146973" hidden="0" customWidth="1"/>
    <x:col min="10" max="10" width="4.849999904632568" hidden="0" customWidth="1"/>
    <x:col min="11" max="11" width="7.670000076293945" hidden="0" customWidth="1"/>
    <x:col min="12" max="12" width="9.5600004196167" hidden="0" customWidth="1"/>
  </x:cols>
  <x:sheetData>
    <x:row r="1" ht="21" customHeight="1">
      <x:c r="A1" s="4" t="str">
        <x:v>signal_id</x:v>
      </x:c>
      <x:c r="B1" s="4" t="str">
        <x:v>timestamp</x:v>
      </x:c>
      <x:c r="C1" s="4" t="str">
        <x:v>student_id</x:v>
      </x:c>
      <x:c r="D1" s="4" t="str">
        <x:v>student_name</x:v>
      </x:c>
      <x:c r="E1" s="4" t="str">
        <x:v>source</x:v>
      </x:c>
      <x:c r="F1" s="4" t="str">
        <x:v>category</x:v>
      </x:c>
      <x:c r="G1" s="4" t="str">
        <x:v>severity</x:v>
      </x:c>
      <x:c r="H1" s="4" t="str">
        <x:v>evidence</x:v>
      </x:c>
      <x:c r="I1" s="4" t="str">
        <x:v>risk_score</x:v>
      </x:c>
      <x:c r="J1" s="4" t="str">
        <x:v>status</x:v>
      </x:c>
      <x:c r="K1" s="4" t="str">
        <x:v>due_date</x:v>
      </x:c>
      <x:c r="L1" s="4" t="str">
        <x:v>resolved_at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059999942779541" hidden="0" customWidth="1"/>
    <x:col min="2" max="2" width="8.75" hidden="0" customWidth="1"/>
    <x:col min="3" max="3" width="8.75" hidden="0" customWidth="1"/>
    <x:col min="4" max="4" width="11.710000038146973" hidden="0" customWidth="1"/>
    <x:col min="5" max="5" width="6.059999942779541" hidden="0" customWidth="1"/>
    <x:col min="6" max="6" width="6.460000038146973" hidden="0" customWidth="1"/>
    <x:col min="7" max="7" width="9.5600004196167" hidden="0" customWidth="1"/>
    <x:col min="8" max="8" width="14" hidden="0" customWidth="1"/>
    <x:col min="9" max="9" width="15.880000114440918" hidden="0" customWidth="1"/>
    <x:col min="10" max="10" width="4.849999904632568" hidden="0" customWidth="1"/>
    <x:col min="11" max="11" width="11.979999542236328" hidden="0" customWidth="1"/>
  </x:cols>
  <x:sheetData>
    <x:row r="1" ht="21" customHeight="1">
      <x:c r="A1" s="4" t="str">
        <x:v>plan_id</x:v>
      </x:c>
      <x:c r="B1" s="4" t="str">
        <x:v>created_at</x:v>
      </x:c>
      <x:c r="C1" s="4" t="str">
        <x:v>student_id</x:v>
      </x:c>
      <x:c r="D1" s="4" t="str">
        <x:v>teacher_email</x:v>
      </x:c>
      <x:c r="E1" s="4" t="str">
        <x:v>priority</x:v>
      </x:c>
      <x:c r="F1" s="4" t="str">
        <x:v>concern</x:v>
      </x:c>
      <x:c r="G1" s="4" t="str">
        <x:v>action_plan</x:v>
      </x:c>
      <x:c r="H1" s="4" t="str">
        <x:v>student_strength</x:v>
      </x:c>
      <x:c r="I1" s="4" t="str">
        <x:v>next_meeting_date</x:v>
      </x:c>
      <x:c r="J1" s="4" t="str">
        <x:v>status</x:v>
      </x:c>
      <x:c r="K1" s="4" t="str">
        <x:v>outcome_note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90000057220459" hidden="0" customWidth="1"/>
    <x:col min="2" max="2" width="8.75" hidden="0" customWidth="1"/>
    <x:col min="3" max="3" width="11.710000038146973" hidden="0" customWidth="1"/>
    <x:col min="4" max="4" width="11.710000038146973" hidden="0" customWidth="1"/>
    <x:col min="5" max="5" width="8.75" hidden="0" customWidth="1"/>
    <x:col min="6" max="6" width="3.7699999809265137" hidden="0" customWidth="1"/>
    <x:col min="7" max="7" width="6.730000019073486" hidden="0" customWidth="1"/>
  </x:cols>
  <x:sheetData>
    <x:row r="1" ht="21" customHeight="1">
      <x:c r="A1" s="4" t="str">
        <x:v>note_id</x:v>
      </x:c>
      <x:c r="B1" s="4" t="str">
        <x:v>timestamp</x:v>
      </x:c>
      <x:c r="C1" s="4" t="str">
        <x:v>teacher_email</x:v>
      </x:c>
      <x:c r="D1" s="4" t="str">
        <x:v>teacher_name</x:v>
      </x:c>
      <x:c r="E1" s="4" t="str">
        <x:v>student_id</x:v>
      </x:c>
      <x:c r="F1" s="4" t="str">
        <x:v>note</x:v>
      </x:c>
      <x:c r="G1" s="4" t="str">
        <x:v>visibility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479999542236328" hidden="0" customWidth="1"/>
    <x:col min="2" max="2" width="8.75" hidden="0" customWidth="1"/>
    <x:col min="3" max="3" width="8.75" hidden="0" customWidth="1"/>
    <x:col min="4" max="4" width="10.630000114440918" hidden="0" customWidth="1"/>
    <x:col min="5" max="5" width="3.2300000190734863" hidden="0" customWidth="1"/>
    <x:col min="6" max="6" width="5.519999980926514" hidden="0" customWidth="1"/>
    <x:col min="7" max="7" width="4.849999904632568" hidden="0" customWidth="1"/>
    <x:col min="8" max="8" width="9.5600004196167" hidden="0" customWidth="1"/>
    <x:col min="9" max="9" width="9.289999961853027" hidden="0" customWidth="1"/>
    <x:col min="10" max="10" width="3.7699999809265137" hidden="0" customWidth="1"/>
  </x:cols>
  <x:sheetData>
    <x:row r="1" ht="21" customHeight="1">
      <x:c r="A1" s="4" t="str">
        <x:v>referral_id</x:v>
      </x:c>
      <x:c r="B1" s="4" t="str">
        <x:v>timestamp</x:v>
      </x:c>
      <x:c r="C1" s="4" t="str">
        <x:v>student_id</x:v>
      </x:c>
      <x:c r="D1" s="4" t="str">
        <x:v>referral_type</x:v>
      </x:c>
      <x:c r="E1" s="4" t="str">
        <x:v>unit</x:v>
      </x:c>
      <x:c r="F1" s="4" t="str">
        <x:v>reason</x:v>
      </x:c>
      <x:c r="G1" s="4" t="str">
        <x:v>status</x:v>
      </x:c>
      <x:c r="H1" s="4" t="str">
        <x:v>handled_by</x:v>
      </x:c>
      <x:c r="I1" s="4" t="str">
        <x:v>handled_at</x:v>
      </x:c>
      <x:c r="J1" s="4" t="str">
        <x:v>note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9.6899995803833" hidden="0" customWidth="1"/>
    <x:col min="3" max="3" width="3.0999999046325684" hidden="0" customWidth="1"/>
    <x:col min="4" max="4" width="4.980000019073486" hidden="0" customWidth="1"/>
    <x:col min="5" max="5" width="1.8799999952316284" hidden="0" customWidth="1"/>
    <x:col min="6" max="6" width="7" hidden="0" customWidth="1"/>
  </x:cols>
  <x:sheetData>
    <x:row r="1" ht="21" customHeight="1">
      <x:c r="A1" s="4" t="str">
        <x:v>timestamp</x:v>
      </x:c>
      <x:c r="B1" s="4" t="str">
        <x:v>actor_email</x:v>
      </x:c>
      <x:c r="C1" s="4" t="str">
        <x:v>role</x:v>
      </x:c>
      <x:c r="D1" s="4" t="str">
        <x:v>action</x:v>
      </x:c>
      <x:c r="E1" s="4" t="str">
        <x:v>ok</x:v>
      </x:c>
      <x:c r="F1" s="4" t="str">
        <x:v>message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29999923706055" hidden="0" customWidth="1"/>
    <x:col min="2" max="2" width="4.309999942779541" hidden="0" customWidth="1"/>
    <x:col min="3" max="3" width="22.34000015258789" hidden="0" customWidth="1"/>
    <x:col min="4" max="4" width="10.5" hidden="0" customWidth="1"/>
  </x:cols>
  <x:sheetData>
    <x:row r="1" ht="21" customHeight="1">
      <x:c r="A1" s="4" t="str">
        <x:v>metric</x:v>
      </x:c>
      <x:c r="B1" s="4" t="str">
        <x:v>value</x:v>
      </x:c>
      <x:c r="C1" s="4" t="str">
        <x:v>formula_or_source</x:v>
      </x:c>
      <x:c r="D1" s="4" t="str">
        <x:v>updated_at</x:v>
      </x:c>
    </x:row>
    <x:row r="2" ht="21" customHeight="1">
      <x:c r="A2" t="str">
        <x:v>總學生數</x:v>
      </x:c>
      <x:c r="B2" t="n">
        <x:f>COUNTA(Students!A2:A5000)</x:f>
        <x:v>0</x:v>
      </x:c>
      <x:c r="C2" t="str">
        <x:v>Students!A2:A5000</x:v>
      </x:c>
      <x:c r="D2" t="n">
        <x:v>46146.25445501157</x:v>
      </x:c>
    </x:row>
    <x:row r="3" ht="21" customHeight="1">
      <x:c r="A3" t="str">
        <x:v>觀察</x:v>
      </x:c>
      <x:c r="B3" t="n">
        <x:f>COUNTIF(Students!L2:L5000,"觀察")</x:f>
        <x:v>0</x:v>
      </x:c>
      <x:c r="C3" t="str">
        <x:v>Students!L2:L5000</x:v>
      </x:c>
      <x:c r="D3" t="n">
        <x:v>46146.25445501157</x:v>
      </x:c>
    </x:row>
    <x:row r="4" ht="21" customHeight="1">
      <x:c r="A4" t="str">
        <x:v>優先關懷</x:v>
      </x:c>
      <x:c r="B4" t="n">
        <x:f>COUNTIF(Students!L2:L5000,"優先關懷")</x:f>
        <x:v>0</x:v>
      </x:c>
      <x:c r="C4" t="str">
        <x:v>Students!L2:L5000</x:v>
      </x:c>
      <x:c r="D4" t="n">
        <x:v>46146.25445501157</x:v>
      </x:c>
    </x:row>
    <x:row r="5" ht="21" customHeight="1">
      <x:c r="A5" t="str">
        <x:v>立即轉介</x:v>
      </x:c>
      <x:c r="B5" t="n">
        <x:f>COUNTIF(Students!L2:L5000,"立即轉介")</x:f>
        <x:v>0</x:v>
      </x:c>
      <x:c r="C5" t="str">
        <x:v>Students!L2:L5000</x:v>
      </x:c>
      <x:c r="D5" t="n">
        <x:v>46146.25445501157</x:v>
      </x:c>
    </x:row>
    <x:row r="6" ht="21" customHeight="1">
      <x:c r="A6" t="str">
        <x:v>近況紀錄數</x:v>
      </x:c>
      <x:c r="B6" t="n">
        <x:f>COUNTA(LearningCheckins!A2:A5000)</x:f>
        <x:v>0</x:v>
      </x:c>
      <x:c r="C6" t="str">
        <x:v>LearningCheckins!A2:A5000</x:v>
      </x:c>
      <x:c r="D6" t="n">
        <x:v>46146.25445501157</x:v>
      </x:c>
    </x:row>
    <x:row r="7" ht="21" customHeight="1">
      <x:c r="A7" t="str">
        <x:v>教師紀錄數</x:v>
      </x:c>
      <x:c r="B7" t="n">
        <x:f>COUNTA(TeacherNotes!A2:A5000)</x:f>
        <x:v>0</x:v>
      </x:c>
      <x:c r="C7" t="str">
        <x:v>TeacherNotes!A2:A5000</x:v>
      </x:c>
      <x:c r="D7" t="n">
        <x:v>46146.25445501157</x:v>
      </x:c>
    </x:row>
  </x:sheetData>
  <x:pageMargins left="0.7" right="0.7" top="0.75" bottom="0.75" header="0.3" footer="0.3"/>
</x:worksheet>
</file>